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sultados Detall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B365D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1B365D"/>
      <sz val="2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4A777A"/>
        <bgColor rgb="004A777A"/>
      </patternFill>
    </fill>
    <fill>
      <patternFill patternType="solid">
        <fgColor rgb="00F8F9FA"/>
        <bgColor rgb="00F8F9FA"/>
      </patternFill>
    </fill>
    <fill>
      <patternFill patternType="solid">
        <fgColor rgb="00E8F1F2"/>
        <bgColor rgb="00E8F1F2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B365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5" borderId="2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right" vertical="center"/>
    </xf>
    <xf numFmtId="0" fontId="4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Puntaje Promedio por Usuario vs Umbral de Aceptabilidad (68 pts)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'Resultados Detallados'!M3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'Resultados Detallados'!$A$4:$A$8</f>
            </numRef>
          </cat>
          <val>
            <numRef>
              <f>'Resultados Detallados'!$M$4:$M$8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Participantes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Puntaje SUS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40" customHeight="1">
      <c r="A1" s="1" t="inlineStr">
        <is>
          <t>KITCHEN MAGIC - DASHBOARD DE USABILIDAD</t>
        </is>
      </c>
    </row>
    <row r="3" ht="18" customHeight="1">
      <c r="B3" s="2" t="inlineStr">
        <is>
          <t>PARTICIPANTES</t>
        </is>
      </c>
      <c r="C3" s="3" t="n"/>
      <c r="E3" s="2" t="inlineStr">
        <is>
          <t>PROMEDIO SCORE SUS</t>
        </is>
      </c>
      <c r="F3" s="3" t="n"/>
    </row>
    <row r="4" ht="30" customHeight="1">
      <c r="B4" s="4">
        <f>COUNTA('Resultados Detallados'!A4:A8)</f>
        <v/>
      </c>
      <c r="C4" s="3" t="n"/>
      <c r="E4" s="4">
        <f>'Resultados Detallados'!M9</f>
        <v/>
      </c>
      <c r="F4" s="3" t="n"/>
    </row>
    <row r="7">
      <c r="B7" s="5" t="inlineStr">
        <is>
          <t>Desglose de Calificaciones SUS por Participante</t>
        </is>
      </c>
    </row>
  </sheetData>
  <mergeCells count="5">
    <mergeCell ref="E4:F4"/>
    <mergeCell ref="A1:G1"/>
    <mergeCell ref="B3:C3"/>
    <mergeCell ref="B4:C4"/>
    <mergeCell ref="E3:F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15" customWidth="1" min="13" max="13"/>
    <col width="35" customWidth="1" min="14" max="14"/>
    <col width="35" customWidth="1" min="15" max="15"/>
    <col width="35" customWidth="1" min="16" max="16"/>
  </cols>
  <sheetData>
    <row r="1" ht="40" customHeight="1">
      <c r="A1" s="1" t="inlineStr">
        <is>
          <t>KITCHEN MAGIC - RESULTADOS DE PRUEBAS DE USABILIDAD (MÉTODO SUS)</t>
        </is>
      </c>
    </row>
    <row r="2" ht="25" customHeight="1">
      <c r="A2" s="5" t="inlineStr">
        <is>
          <t>Información del Participante</t>
        </is>
      </c>
      <c r="C2" s="5" t="inlineStr">
        <is>
          <t>Respuestas Escala SUS (1 al 10)</t>
        </is>
      </c>
      <c r="N2" s="5" t="inlineStr">
        <is>
          <t>Preguntas Abiertas y Retroalimentación</t>
        </is>
      </c>
    </row>
    <row r="3" ht="30" customHeight="1">
      <c r="A3" s="6" t="inlineStr">
        <is>
          <t>Nombre</t>
        </is>
      </c>
      <c r="B3" s="6" t="inlineStr">
        <is>
          <t>Tipo de Usuario</t>
        </is>
      </c>
      <c r="C3" s="6" t="inlineStr">
        <is>
          <t>P1</t>
        </is>
      </c>
      <c r="D3" s="6" t="inlineStr">
        <is>
          <t>P2</t>
        </is>
      </c>
      <c r="E3" s="6" t="inlineStr">
        <is>
          <t>P3</t>
        </is>
      </c>
      <c r="F3" s="6" t="inlineStr">
        <is>
          <t>P4</t>
        </is>
      </c>
      <c r="G3" s="6" t="inlineStr">
        <is>
          <t>P5</t>
        </is>
      </c>
      <c r="H3" s="6" t="inlineStr">
        <is>
          <t>P6</t>
        </is>
      </c>
      <c r="I3" s="6" t="inlineStr">
        <is>
          <t>P7</t>
        </is>
      </c>
      <c r="J3" s="6" t="inlineStr">
        <is>
          <t>P8</t>
        </is>
      </c>
      <c r="K3" s="6" t="inlineStr">
        <is>
          <t>P9</t>
        </is>
      </c>
      <c r="L3" s="6" t="inlineStr">
        <is>
          <t>P10</t>
        </is>
      </c>
      <c r="M3" s="6" t="inlineStr">
        <is>
          <t>Puntaje SUS</t>
        </is>
      </c>
      <c r="N3" s="7" t="inlineStr">
        <is>
          <t>¿Qué fue lo que más te gustó y por qué?</t>
        </is>
      </c>
      <c r="O3" s="7" t="inlineStr">
        <is>
          <t>¿Tuviste algún problema con voz o pantalla?</t>
        </is>
      </c>
      <c r="P3" s="7" t="inlineStr">
        <is>
          <t>¿Qué cambiarías o agregarías para mejorar?</t>
        </is>
      </c>
    </row>
    <row r="4" ht="45" customHeight="1">
      <c r="A4" s="8" t="inlineStr">
        <is>
          <t>Usuario 1 (Mateo)</t>
        </is>
      </c>
      <c r="B4" s="8" t="inlineStr">
        <is>
          <t>Estudiante Foráneo (Primario)</t>
        </is>
      </c>
      <c r="C4" s="9" t="n">
        <v>5</v>
      </c>
      <c r="D4" s="9" t="n">
        <v>2</v>
      </c>
      <c r="E4" s="9" t="n">
        <v>5</v>
      </c>
      <c r="F4" s="9" t="n">
        <v>2</v>
      </c>
      <c r="G4" s="9" t="n">
        <v>5</v>
      </c>
      <c r="H4" s="9" t="n">
        <v>2</v>
      </c>
      <c r="I4" s="9" t="n">
        <v>5</v>
      </c>
      <c r="J4" s="9" t="n">
        <v>2</v>
      </c>
      <c r="K4" s="9" t="n">
        <v>5</v>
      </c>
      <c r="L4" s="9" t="n">
        <v>3</v>
      </c>
      <c r="M4" s="10">
        <f>((C4-1)+(5-D4)+(E4-1)+(5-F4)+(G4-1)+(5-H4)+(I4-1)+(5-J4)+(K4-1)+(5-L4))*2.5</f>
        <v/>
      </c>
      <c r="N4" s="8" t="inlineStr">
        <is>
          <t>El buscador por ingredientes, me ahorra mucho dinero a fin de mes.</t>
        </is>
      </c>
      <c r="O4" s="8" t="inlineStr">
        <is>
          <t>Ninguno, el diseño es limpio y se entiende rápido.</t>
        </is>
      </c>
      <c r="P4" s="8" t="inlineStr">
        <is>
          <t>Agregar una opción para guardar listas de compras compartidas.</t>
        </is>
      </c>
    </row>
    <row r="5" ht="45" customHeight="1">
      <c r="A5" s="11" t="inlineStr">
        <is>
          <t>Usuario 2 (Valentina)</t>
        </is>
      </c>
      <c r="B5" s="11" t="inlineStr">
        <is>
          <t>Madre de Familia (Primario)</t>
        </is>
      </c>
      <c r="C5" s="12" t="n">
        <v>4</v>
      </c>
      <c r="D5" s="12" t="n">
        <v>2</v>
      </c>
      <c r="E5" s="12" t="n">
        <v>4</v>
      </c>
      <c r="F5" s="12" t="n">
        <v>1</v>
      </c>
      <c r="G5" s="12" t="n">
        <v>5</v>
      </c>
      <c r="H5" s="12" t="n">
        <v>1</v>
      </c>
      <c r="I5" s="12" t="n">
        <v>4</v>
      </c>
      <c r="J5" s="12" t="n">
        <v>2</v>
      </c>
      <c r="K5" s="12" t="n">
        <v>4</v>
      </c>
      <c r="L5" s="12" t="n">
        <v>4</v>
      </c>
      <c r="M5" s="13">
        <f>((C5-1)+(5-D5)+(E5-1)+(5-F5)+(G5-1)+(5-H5)+(I5-1)+(5-J5)+(K5-1)+(5-L5))*2.5</f>
        <v/>
      </c>
      <c r="N5" s="11" t="inlineStr">
        <is>
          <t>Los comandos de voz. Puedo avanzar los pasos mientras cargo a mi bebé.</t>
        </is>
      </c>
      <c r="O5" s="11" t="inlineStr">
        <is>
          <t>Al principio hablé muy rápido y no me entendió, luego funcionó perfecto.</t>
        </is>
      </c>
      <c r="P5" s="11" t="inlineStr">
        <is>
          <t>Hacer el botón de activación de voz un poco más grande.</t>
        </is>
      </c>
    </row>
    <row r="6" ht="45" customHeight="1">
      <c r="A6" s="8" t="inlineStr">
        <is>
          <t>Usuario 3 (Roberto)</t>
        </is>
      </c>
      <c r="B6" s="8" t="inlineStr">
        <is>
          <t>Joven Profesional (Primario)</t>
        </is>
      </c>
      <c r="C6" s="9" t="n">
        <v>5</v>
      </c>
      <c r="D6" s="9" t="n">
        <v>1</v>
      </c>
      <c r="E6" s="9" t="n">
        <v>4</v>
      </c>
      <c r="F6" s="9" t="n">
        <v>1</v>
      </c>
      <c r="G6" s="9" t="n">
        <v>5</v>
      </c>
      <c r="H6" s="9" t="n">
        <v>2</v>
      </c>
      <c r="I6" s="9" t="n">
        <v>5</v>
      </c>
      <c r="J6" s="9" t="n">
        <v>3</v>
      </c>
      <c r="K6" s="9" t="n">
        <v>4</v>
      </c>
      <c r="L6" s="9" t="n">
        <v>2</v>
      </c>
      <c r="M6" s="10">
        <f>((C6-1)+(5-D6)+(E6-1)+(5-F6)+(G6-1)+(5-H6)+(I6-1)+(5-J6)+(K6-1)+(5-L6))*2.5</f>
        <v/>
      </c>
      <c r="N6" s="8" t="inlineStr">
        <is>
          <t>El ajuste dinámico de calorías según los gramos que voy a preparar.</t>
        </is>
      </c>
      <c r="O6" s="8" t="inlineStr">
        <is>
          <t>Todo claro, las tipografías nuevas se leen muy bien a distancia.</t>
        </is>
      </c>
      <c r="P6" s="8" t="inlineStr">
        <is>
          <t>Que se puedan guardar recetas favoritas en carpetas personalizadas.</t>
        </is>
      </c>
    </row>
    <row r="7" ht="45" customHeight="1">
      <c r="A7" s="11" t="inlineStr">
        <is>
          <t>Usuario 4 (Sofía)</t>
        </is>
      </c>
      <c r="B7" s="11" t="inlineStr">
        <is>
          <t>Aprendiz de Cocina (Secundario)</t>
        </is>
      </c>
      <c r="C7" s="12" t="n">
        <v>4</v>
      </c>
      <c r="D7" s="12" t="n">
        <v>2</v>
      </c>
      <c r="E7" s="12" t="n">
        <v>5</v>
      </c>
      <c r="F7" s="12" t="n">
        <v>1</v>
      </c>
      <c r="G7" s="12" t="n">
        <v>4</v>
      </c>
      <c r="H7" s="12" t="n">
        <v>1</v>
      </c>
      <c r="I7" s="12" t="n">
        <v>5</v>
      </c>
      <c r="J7" s="12" t="n">
        <v>2</v>
      </c>
      <c r="K7" s="12" t="n">
        <v>5</v>
      </c>
      <c r="L7" s="12" t="n">
        <v>2</v>
      </c>
      <c r="M7" s="13">
        <f>((C7-1)+(5-D7)+(E7-1)+(5-F7)+(G7-1)+(5-H7)+(I7-1)+(5-J7)+(K7-1)+(5-L7))*2.5</f>
        <v/>
      </c>
      <c r="N7" s="11" t="inlineStr">
        <is>
          <t>Los micro-videos de ayuda para las técnicas de corte y emplatado.</t>
        </is>
      </c>
      <c r="O7" s="11" t="inlineStr">
        <is>
          <t>Sin problemas, la interfaz fluye bastante bien.</t>
        </is>
      </c>
      <c r="P7" s="11" t="inlineStr">
        <is>
          <t>Agregar un filtro específico para recetas de estilo gourmet.</t>
        </is>
      </c>
    </row>
    <row r="8" ht="45" customHeight="1">
      <c r="A8" s="8" t="inlineStr">
        <is>
          <t>Usuario 5 (Adulto Mayor)</t>
        </is>
      </c>
      <c r="B8" s="8" t="inlineStr">
        <is>
          <t>Adulto Mayor (Ocasional)</t>
        </is>
      </c>
      <c r="C8" s="9" t="n">
        <v>4</v>
      </c>
      <c r="D8" s="9" t="n">
        <v>3</v>
      </c>
      <c r="E8" s="9" t="n">
        <v>4</v>
      </c>
      <c r="F8" s="9" t="n">
        <v>2</v>
      </c>
      <c r="G8" s="9" t="n">
        <v>4</v>
      </c>
      <c r="H8" s="9" t="n">
        <v>2</v>
      </c>
      <c r="I8" s="9" t="n">
        <v>4</v>
      </c>
      <c r="J8" s="9" t="n">
        <v>3</v>
      </c>
      <c r="K8" s="9" t="n">
        <v>4</v>
      </c>
      <c r="L8" s="9" t="n">
        <v>2</v>
      </c>
      <c r="M8" s="10">
        <f>((C8-1)+(5-D8)+(E8-1)+(5-F8)+(G8-1)+(5-H8)+(I8-1)+(5-J8)+(K8-1)+(5-L8))*2.5</f>
        <v/>
      </c>
      <c r="N8" s="8" t="inlineStr">
        <is>
          <t>Las letras grandes y el modo de pantalla simple que no confunde.</t>
        </is>
      </c>
      <c r="O8" s="8" t="inlineStr">
        <is>
          <t>Me costó un poco de trabajo activar el micrófono al principio.</t>
        </is>
      </c>
      <c r="P8" s="8" t="inlineStr">
        <is>
          <t>Poner un aviso visual más brillante cuando la app esté escuchando la voz.</t>
        </is>
      </c>
    </row>
    <row r="9" ht="25" customHeight="1">
      <c r="A9" s="14" t="inlineStr">
        <is>
          <t>Promedio Total</t>
        </is>
      </c>
      <c r="M9" s="15">
        <f>AVERAGE(M4:M8)</f>
        <v/>
      </c>
    </row>
  </sheetData>
  <mergeCells count="5">
    <mergeCell ref="A2:B2"/>
    <mergeCell ref="N2:P2"/>
    <mergeCell ref="A1:P1"/>
    <mergeCell ref="A9:L9"/>
    <mergeCell ref="C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2026-05-18T06:22:59Z</dcterms:created>
  <dcterms:modified xmlns:dcterms="http://purl.org/dc/terms/" xmlns:xsi="http://www.w3.org/2001/XMLSchema-instance" xsi:type="dcterms:W3CDTF">2026-05-18T06:22:59Z</dcterms:modified>
</cp:coreProperties>
</file>